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BREAKER_RATING_A" vbProcedure="false">Sheet1!$B$23</definedName>
    <definedName function="false" hidden="false" name="CONTINUOUS_DUTY_DERATE" vbProcedure="false">Sheet1!$B$24</definedName>
    <definedName function="false" hidden="false" name="ev_apparent_power_kva" vbProcedure="false">Sheet1!$B$27</definedName>
    <definedName function="false" hidden="false" name="ev_pilot_current_a" vbProcedure="false">Sheet1!$B$26</definedName>
    <definedName function="false" hidden="false" name="ev_real_power_kw" vbProcedure="false">Sheet1!$B$28</definedName>
    <definedName function="false" hidden="false" name="EV_TRUE_POWER_FACTOR" vbProcedure="false">Sheet1!$B$25</definedName>
    <definedName function="false" hidden="false" name="PANEL_VOLTAGE_V" vbProcedure="false">Sheet1!$B$22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<sst xmlns="http://schemas.openxmlformats.org/spreadsheetml/2006/main" count="31" uniqueCount="20">
  <si>
    <t xml:space="preserve">ROUGH KW AND KVA APPROXIMATIONS VS. EXACT NUMBERS</t>
  </si>
  <si>
    <t xml:space="preserve">Rough values</t>
  </si>
  <si>
    <t xml:space="preserve">Exact values</t>
  </si>
  <si>
    <t xml:space="preserve">Rough minus Exact</t>
  </si>
  <si>
    <t xml:space="preserve">No. of EVs</t>
  </si>
  <si>
    <t xml:space="preserve">Total kW</t>
  </si>
  <si>
    <t xml:space="preserve">Total kVA</t>
  </si>
  <si>
    <t xml:space="preserve">Per EV kW</t>
  </si>
  <si>
    <t xml:space="preserve">Per EV kVA</t>
  </si>
  <si>
    <t xml:space="preserve">kW</t>
  </si>
  <si>
    <t xml:space="preserve">kVA</t>
  </si>
  <si>
    <t xml:space="preserve">PF</t>
  </si>
  <si>
    <t xml:space="preserve">over nameplate -&gt;</t>
  </si>
  <si>
    <t xml:space="preserve">PANEL_VOLTAGE_V</t>
  </si>
  <si>
    <t xml:space="preserve">BREAKER_RATING_A</t>
  </si>
  <si>
    <t xml:space="preserve">CONTINUOUS_DUTY_DERATE</t>
  </si>
  <si>
    <t xml:space="preserve">EV_TRUE_POWER_FACTOR</t>
  </si>
  <si>
    <t xml:space="preserve">ev_pilot_current_a</t>
  </si>
  <si>
    <t xml:space="preserve">ev_apparent_power_kva</t>
  </si>
  <si>
    <t xml:space="preserve">ev_real_power_kw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</si>
</sst>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9.39"/>
    <col collapsed="false" customWidth="true" hidden="false" outlineLevel="0" max="4" min="4" style="0" width="1.68"/>
    <col collapsed="false" customWidth="true" hidden="false" outlineLevel="0" max="8" min="5" style="1" width="9.42"/>
    <col collapsed="false" customWidth="true" hidden="false" outlineLevel="0" max="9" min="9" style="0" width="1.68"/>
    <col collapsed="false" customWidth="true" hidden="false" outlineLevel="0" max="14" min="10" style="1" width="9.42"/>
    <col collapsed="false" customWidth="true" hidden="false" outlineLevel="0" max="15" min="15" style="0" width="1.68"/>
    <col collapsed="false" customWidth="true" hidden="false" outlineLevel="0" max="18" min="16" style="1" width="9.42"/>
  </cols>
  <sheetData>
    <row r="1" customFormat="false" ht="12.8" hidden="false" customHeight="false" outlineLevel="0" collapsed="false">
      <c r="A1" s="2" t="s">
        <v>0</v>
      </c>
    </row>
    <row r="3" customFormat="false" ht="12.8" hidden="false" customHeight="false" outlineLevel="0" collapsed="false">
      <c r="A3" s="2"/>
      <c r="E3" s="3" t="s">
        <v>1</v>
      </c>
      <c r="F3" s="3"/>
      <c r="G3" s="3"/>
      <c r="H3" s="3"/>
      <c r="J3" s="3" t="s">
        <v>2</v>
      </c>
      <c r="K3" s="3"/>
      <c r="L3" s="3"/>
      <c r="M3" s="3"/>
      <c r="N3" s="3"/>
      <c r="P3" s="3" t="s">
        <v>3</v>
      </c>
      <c r="Q3" s="3"/>
      <c r="R3" s="3"/>
    </row>
    <row r="4" customFormat="false" ht="12.8" hidden="false" customHeight="false" outlineLevel="0" collapsed="false">
      <c r="C4" s="0" t="s">
        <v>4</v>
      </c>
      <c r="E4" s="1" t="s">
        <v>5</v>
      </c>
      <c r="F4" s="1" t="s">
        <v>6</v>
      </c>
      <c r="G4" s="4" t="s">
        <v>7</v>
      </c>
      <c r="H4" s="4" t="s">
        <v>8</v>
      </c>
      <c r="J4" s="1" t="s">
        <v>9</v>
      </c>
      <c r="K4" s="1" t="s">
        <v>10</v>
      </c>
      <c r="L4" s="4" t="s">
        <v>7</v>
      </c>
      <c r="M4" s="4" t="s">
        <v>8</v>
      </c>
      <c r="N4" s="1" t="s">
        <v>11</v>
      </c>
      <c r="P4" s="4" t="s">
        <v>7</v>
      </c>
      <c r="Q4" s="4" t="s">
        <v>8</v>
      </c>
      <c r="R4" s="1" t="s">
        <v>11</v>
      </c>
    </row>
    <row r="5" customFormat="false" ht="12.8" hidden="false" customHeight="false" outlineLevel="0" collapsed="false">
      <c r="A5" s="5" t="s">
        <v>9</v>
      </c>
      <c r="B5" s="5" t="n">
        <v>6.666</v>
      </c>
      <c r="C5" s="5" t="n">
        <v>1</v>
      </c>
      <c r="D5" s="5"/>
      <c r="E5" s="1" t="n">
        <f aca="false">$B$5 *C5</f>
        <v>6.666</v>
      </c>
      <c r="F5" s="1" t="n">
        <f aca="false">E5/$B$6</f>
        <v>6.80204081632653</v>
      </c>
      <c r="G5" s="1" t="n">
        <f aca="false">E5/$C5</f>
        <v>6.666</v>
      </c>
      <c r="H5" s="1" t="n">
        <f aca="false">F5/$C5</f>
        <v>6.80204081632653</v>
      </c>
      <c r="I5" s="5"/>
      <c r="J5" s="1" t="n">
        <v>6.95</v>
      </c>
      <c r="K5" s="1" t="n">
        <v>7.37</v>
      </c>
      <c r="L5" s="1" t="n">
        <f aca="false">J5/$C5</f>
        <v>6.95</v>
      </c>
      <c r="M5" s="1" t="n">
        <f aca="false">K5/$C5</f>
        <v>7.37</v>
      </c>
      <c r="N5" s="1" t="n">
        <f aca="false">J5 / K5</f>
        <v>0.943012211668928</v>
      </c>
      <c r="O5" s="5"/>
      <c r="P5" s="1" t="n">
        <f aca="false">G5 - L5</f>
        <v>-0.284</v>
      </c>
      <c r="Q5" s="1" t="n">
        <f aca="false">H5 - M5</f>
        <v>-0.567959183673469</v>
      </c>
      <c r="R5" s="1" t="n">
        <f aca="false">$B$6 - N5</f>
        <v>0.0369877883310719</v>
      </c>
    </row>
    <row r="6" customFormat="false" ht="12.8" hidden="false" customHeight="false" outlineLevel="0" collapsed="false">
      <c r="A6" s="5" t="s">
        <v>11</v>
      </c>
      <c r="B6" s="5" t="n">
        <v>0.98</v>
      </c>
      <c r="C6" s="5" t="n">
        <v>2</v>
      </c>
      <c r="D6" s="5"/>
      <c r="E6" s="1" t="n">
        <f aca="false">$B$5 *C6</f>
        <v>13.332</v>
      </c>
      <c r="F6" s="1" t="n">
        <f aca="false">E6/$B$6</f>
        <v>13.6040816326531</v>
      </c>
      <c r="G6" s="1" t="n">
        <f aca="false">E6/$C6</f>
        <v>6.666</v>
      </c>
      <c r="H6" s="1" t="n">
        <f aca="false">F6/$C6</f>
        <v>6.80204081632653</v>
      </c>
      <c r="I6" s="5"/>
      <c r="J6" s="1" t="n">
        <v>13.58</v>
      </c>
      <c r="K6" s="1" t="n">
        <v>14.01</v>
      </c>
      <c r="L6" s="1" t="n">
        <f aca="false">J6/$C6</f>
        <v>6.79</v>
      </c>
      <c r="M6" s="1" t="n">
        <f aca="false">K6/$C6</f>
        <v>7.005</v>
      </c>
      <c r="N6" s="1" t="n">
        <f aca="false">J6 / K6</f>
        <v>0.969307637401856</v>
      </c>
      <c r="O6" s="5"/>
      <c r="P6" s="1" t="n">
        <f aca="false">G6 - L6</f>
        <v>-0.124</v>
      </c>
      <c r="Q6" s="1" t="n">
        <f aca="false">H6 - M6</f>
        <v>-0.202959183673469</v>
      </c>
      <c r="R6" s="1" t="n">
        <f aca="false">$B$6 - N6</f>
        <v>0.0106923625981441</v>
      </c>
    </row>
    <row r="7" customFormat="false" ht="12.8" hidden="false" customHeight="false" outlineLevel="0" collapsed="false">
      <c r="C7" s="5" t="n">
        <v>3</v>
      </c>
      <c r="D7" s="5"/>
      <c r="E7" s="1" t="n">
        <f aca="false">$B$5 *C7</f>
        <v>19.998</v>
      </c>
      <c r="F7" s="1" t="n">
        <f aca="false">E7/$B$6</f>
        <v>20.4061224489796</v>
      </c>
      <c r="G7" s="1" t="n">
        <f aca="false">E7/$C7</f>
        <v>6.666</v>
      </c>
      <c r="H7" s="1" t="n">
        <f aca="false">F7/$C7</f>
        <v>6.80204081632653</v>
      </c>
      <c r="I7" s="5"/>
      <c r="J7" s="1" t="n">
        <v>20.23</v>
      </c>
      <c r="K7" s="1" t="n">
        <v>20.72</v>
      </c>
      <c r="L7" s="1" t="n">
        <f aca="false">J7/$C7</f>
        <v>6.74333333333333</v>
      </c>
      <c r="M7" s="1" t="n">
        <f aca="false">K7/$C7</f>
        <v>6.90666666666667</v>
      </c>
      <c r="N7" s="1" t="n">
        <f aca="false">J7 / K7</f>
        <v>0.976351351351351</v>
      </c>
      <c r="O7" s="5"/>
      <c r="P7" s="1" t="n">
        <f aca="false">G7 - L7</f>
        <v>-0.0773333333333328</v>
      </c>
      <c r="Q7" s="1" t="n">
        <f aca="false">H7 - M7</f>
        <v>-0.104625850340135</v>
      </c>
      <c r="R7" s="1" t="n">
        <f aca="false">$B$6 - N7</f>
        <v>0.00364864864864856</v>
      </c>
    </row>
    <row r="8" customFormat="false" ht="12.8" hidden="false" customHeight="false" outlineLevel="0" collapsed="false">
      <c r="C8" s="5" t="n">
        <v>4</v>
      </c>
      <c r="D8" s="5"/>
      <c r="E8" s="1" t="n">
        <f aca="false">$B$5 *C8</f>
        <v>26.664</v>
      </c>
      <c r="F8" s="1" t="n">
        <f aca="false">E8/$B$6</f>
        <v>27.2081632653061</v>
      </c>
      <c r="G8" s="1" t="n">
        <f aca="false">E8/$C8</f>
        <v>6.666</v>
      </c>
      <c r="H8" s="1" t="n">
        <f aca="false">F8/$C8</f>
        <v>6.80204081632653</v>
      </c>
      <c r="I8" s="5"/>
      <c r="J8" s="1" t="n">
        <v>26.91</v>
      </c>
      <c r="K8" s="1" t="n">
        <v>27.48</v>
      </c>
      <c r="L8" s="1" t="n">
        <f aca="false">J8/$C8</f>
        <v>6.7275</v>
      </c>
      <c r="M8" s="1" t="n">
        <f aca="false">K8/$C8</f>
        <v>6.87</v>
      </c>
      <c r="N8" s="1" t="n">
        <f aca="false">J8 / K8</f>
        <v>0.979257641921397</v>
      </c>
      <c r="O8" s="5"/>
      <c r="P8" s="1" t="n">
        <f aca="false">G8 - L8</f>
        <v>-0.0614999999999997</v>
      </c>
      <c r="Q8" s="1" t="n">
        <f aca="false">H8 - M8</f>
        <v>-0.0679591836734694</v>
      </c>
      <c r="R8" s="1" t="n">
        <f aca="false">$B$6 - N8</f>
        <v>0.000742358078602567</v>
      </c>
    </row>
    <row r="9" customFormat="false" ht="12.8" hidden="false" customHeight="false" outlineLevel="0" collapsed="false">
      <c r="C9" s="5" t="n">
        <v>5</v>
      </c>
      <c r="D9" s="5"/>
      <c r="E9" s="1" t="n">
        <f aca="false">$B$5 *C9</f>
        <v>33.33</v>
      </c>
      <c r="F9" s="1" t="n">
        <f aca="false">E9/$B$6</f>
        <v>34.0102040816326</v>
      </c>
      <c r="G9" s="1" t="n">
        <f aca="false">E9/$C9</f>
        <v>6.666</v>
      </c>
      <c r="H9" s="1" t="n">
        <f aca="false">F9/$C9</f>
        <v>6.80204081632653</v>
      </c>
      <c r="I9" s="5"/>
      <c r="J9" s="1" t="n">
        <v>33.61</v>
      </c>
      <c r="K9" s="1" t="n">
        <v>34.28</v>
      </c>
      <c r="L9" s="1" t="n">
        <f aca="false">J9/$C9</f>
        <v>6.722</v>
      </c>
      <c r="M9" s="1" t="n">
        <f aca="false">K9/$C9</f>
        <v>6.856</v>
      </c>
      <c r="N9" s="1" t="n">
        <f aca="false">J9 / K9</f>
        <v>0.980455075845974</v>
      </c>
      <c r="O9" s="5"/>
      <c r="P9" s="1" t="n">
        <f aca="false">G9 - L9</f>
        <v>-0.0560000000000001</v>
      </c>
      <c r="Q9" s="1" t="n">
        <f aca="false">H9 - M9</f>
        <v>-0.0539591836734701</v>
      </c>
      <c r="R9" s="1" t="n">
        <f aca="false">$B$6 - N9</f>
        <v>-0.000455075845974262</v>
      </c>
    </row>
    <row r="10" customFormat="false" ht="12.8" hidden="false" customHeight="false" outlineLevel="0" collapsed="false">
      <c r="C10" s="5" t="n">
        <v>6</v>
      </c>
      <c r="D10" s="5"/>
      <c r="E10" s="1" t="n">
        <f aca="false">$B$5 *C10</f>
        <v>39.996</v>
      </c>
      <c r="F10" s="1" t="n">
        <f aca="false">E10/$B$6</f>
        <v>40.8122448979592</v>
      </c>
      <c r="G10" s="1" t="n">
        <f aca="false">E10/$C10</f>
        <v>6.666</v>
      </c>
      <c r="H10" s="1" t="n">
        <f aca="false">F10/$C10</f>
        <v>6.80204081632653</v>
      </c>
      <c r="I10" s="5"/>
      <c r="J10" s="1" t="n">
        <v>40.34</v>
      </c>
      <c r="K10" s="1" t="n">
        <v>41.11</v>
      </c>
      <c r="L10" s="1" t="n">
        <f aca="false">J10/$C10</f>
        <v>6.72333333333333</v>
      </c>
      <c r="M10" s="1" t="n">
        <f aca="false">K10/$C10</f>
        <v>6.85166666666667</v>
      </c>
      <c r="N10" s="1" t="n">
        <f aca="false">J10 / K10</f>
        <v>0.981269764047677</v>
      </c>
      <c r="O10" s="5"/>
      <c r="P10" s="1" t="n">
        <f aca="false">G10 - L10</f>
        <v>-0.0573333333333332</v>
      </c>
      <c r="Q10" s="1" t="n">
        <f aca="false">H10 - M10</f>
        <v>-0.049625850340135</v>
      </c>
      <c r="R10" s="1" t="n">
        <f aca="false">$B$6 - N10</f>
        <v>-0.00126976404767709</v>
      </c>
    </row>
    <row r="11" customFormat="false" ht="12.8" hidden="false" customHeight="false" outlineLevel="0" collapsed="false">
      <c r="C11" s="5" t="n">
        <v>7</v>
      </c>
      <c r="D11" s="5"/>
      <c r="E11" s="1" t="n">
        <f aca="false">$B$5 *C11</f>
        <v>46.662</v>
      </c>
      <c r="F11" s="1" t="n">
        <f aca="false">E11/$B$6</f>
        <v>47.6142857142857</v>
      </c>
      <c r="G11" s="1" t="n">
        <f aca="false">E11/$C11</f>
        <v>6.666</v>
      </c>
      <c r="H11" s="1" t="n">
        <f aca="false">F11/$C11</f>
        <v>6.80204081632653</v>
      </c>
      <c r="I11" s="5"/>
      <c r="J11" s="1" t="n">
        <v>47.09</v>
      </c>
      <c r="K11" s="1" t="n">
        <v>47.97</v>
      </c>
      <c r="L11" s="1" t="n">
        <f aca="false">J11/$C11</f>
        <v>6.72714285714286</v>
      </c>
      <c r="M11" s="1" t="n">
        <f aca="false">K11/$C11</f>
        <v>6.85285714285714</v>
      </c>
      <c r="N11" s="1" t="n">
        <f aca="false">J11 / K11</f>
        <v>0.981655201167396</v>
      </c>
      <c r="O11" s="5"/>
      <c r="P11" s="1" t="n">
        <f aca="false">G11 - L11</f>
        <v>-0.0611428571428583</v>
      </c>
      <c r="Q11" s="1" t="n">
        <f aca="false">H11 - M11</f>
        <v>-0.0508163265306116</v>
      </c>
      <c r="R11" s="1" t="n">
        <f aca="false">$B$6 - N11</f>
        <v>-0.00165520116739637</v>
      </c>
    </row>
    <row r="12" customFormat="false" ht="12.8" hidden="false" customHeight="false" outlineLevel="0" collapsed="false">
      <c r="C12" s="5" t="n">
        <v>8</v>
      </c>
      <c r="D12" s="5"/>
      <c r="E12" s="1" t="n">
        <f aca="false">$B$5 *C12</f>
        <v>53.328</v>
      </c>
      <c r="F12" s="1" t="n">
        <f aca="false">E12/$B$6</f>
        <v>54.4163265306123</v>
      </c>
      <c r="G12" s="1" t="n">
        <f aca="false">E12/$C12</f>
        <v>6.666</v>
      </c>
      <c r="H12" s="1" t="n">
        <f aca="false">F12/$C12</f>
        <v>6.80204081632653</v>
      </c>
      <c r="I12" s="5"/>
      <c r="J12" s="1" t="n">
        <v>53.87</v>
      </c>
      <c r="K12" s="1" t="n">
        <v>54.87</v>
      </c>
      <c r="L12" s="1" t="n">
        <f aca="false">J12/$C12</f>
        <v>6.73375</v>
      </c>
      <c r="M12" s="1" t="n">
        <f aca="false">K12/$C12</f>
        <v>6.85875</v>
      </c>
      <c r="N12" s="1" t="n">
        <f aca="false">J12 / K12</f>
        <v>0.981775104793147</v>
      </c>
      <c r="O12" s="5"/>
      <c r="P12" s="1" t="n">
        <f aca="false">G12 - L12</f>
        <v>-0.0677499999999993</v>
      </c>
      <c r="Q12" s="1" t="n">
        <f aca="false">H12 - M12</f>
        <v>-0.056709183673469</v>
      </c>
      <c r="R12" s="1" t="n">
        <f aca="false">$B$6 - N12</f>
        <v>-0.00177510479314746</v>
      </c>
    </row>
    <row r="13" customFormat="false" ht="12.8" hidden="false" customHeight="false" outlineLevel="0" collapsed="false">
      <c r="C13" s="5" t="n">
        <v>9</v>
      </c>
      <c r="D13" s="5"/>
      <c r="E13" s="1" t="n">
        <f aca="false">$B$5 *C13</f>
        <v>59.994</v>
      </c>
      <c r="F13" s="1" t="n">
        <f aca="false">E13/$B$6</f>
        <v>61.2183673469388</v>
      </c>
      <c r="G13" s="1" t="n">
        <f aca="false">E13/$C13</f>
        <v>6.666</v>
      </c>
      <c r="H13" s="1" t="n">
        <f aca="false">F13/$C13</f>
        <v>6.80204081632653</v>
      </c>
      <c r="I13" s="5"/>
      <c r="J13" s="1" t="n">
        <v>60.68</v>
      </c>
      <c r="K13" s="1" t="n">
        <v>61.8</v>
      </c>
      <c r="L13" s="1" t="n">
        <f aca="false">J13/$C13</f>
        <v>6.74222222222222</v>
      </c>
      <c r="M13" s="1" t="n">
        <f aca="false">K13/$C13</f>
        <v>6.86666666666667</v>
      </c>
      <c r="N13" s="1" t="n">
        <f aca="false">J13 / K13</f>
        <v>0.981877022653722</v>
      </c>
      <c r="O13" s="5"/>
      <c r="P13" s="1" t="n">
        <f aca="false">G13 - L13</f>
        <v>-0.0762222222222215</v>
      </c>
      <c r="Q13" s="1" t="n">
        <f aca="false">H13 - M13</f>
        <v>-0.0646258503401356</v>
      </c>
      <c r="R13" s="1" t="n">
        <f aca="false">$B$6 - N13</f>
        <v>-0.00187702265372169</v>
      </c>
    </row>
    <row r="14" customFormat="false" ht="12.8" hidden="false" customHeight="false" outlineLevel="0" collapsed="false">
      <c r="C14" s="5" t="n">
        <v>10</v>
      </c>
      <c r="D14" s="5"/>
      <c r="E14" s="1" t="n">
        <f aca="false">$B$5 *C14</f>
        <v>66.66</v>
      </c>
      <c r="F14" s="1" t="n">
        <f aca="false">E14/$B$6</f>
        <v>68.0204081632653</v>
      </c>
      <c r="G14" s="1" t="n">
        <f aca="false">E14/$C14</f>
        <v>6.666</v>
      </c>
      <c r="H14" s="1" t="n">
        <f aca="false">F14/$C14</f>
        <v>6.80204081632653</v>
      </c>
      <c r="I14" s="5"/>
      <c r="J14" s="1" t="n">
        <v>67.5</v>
      </c>
      <c r="K14" s="1" t="n">
        <v>68.77</v>
      </c>
      <c r="L14" s="1" t="n">
        <f aca="false">J14/$C14</f>
        <v>6.75</v>
      </c>
      <c r="M14" s="1" t="n">
        <f aca="false">K14/$C14</f>
        <v>6.877</v>
      </c>
      <c r="N14" s="1" t="n">
        <f aca="false">J14 / K14</f>
        <v>0.981532645048713</v>
      </c>
      <c r="O14" s="5"/>
      <c r="P14" s="1" t="n">
        <f aca="false">G14 - L14</f>
        <v>-0.0840000000000005</v>
      </c>
      <c r="Q14" s="1" t="n">
        <f aca="false">H14 - M14</f>
        <v>-0.07495918367347</v>
      </c>
      <c r="R14" s="1" t="n">
        <f aca="false">$B$6 - N14</f>
        <v>-0.0015326450487132</v>
      </c>
    </row>
    <row r="15" customFormat="false" ht="12.8" hidden="false" customHeight="false" outlineLevel="0" collapsed="false">
      <c r="C15" s="5"/>
      <c r="D15" s="5"/>
      <c r="I15" s="5"/>
      <c r="O15" s="5"/>
    </row>
    <row r="16" customFormat="false" ht="12.8" hidden="false" customHeight="false" outlineLevel="0" collapsed="false">
      <c r="B16" s="6" t="s">
        <v>12</v>
      </c>
      <c r="C16" s="5" t="n">
        <v>11</v>
      </c>
      <c r="D16" s="5"/>
      <c r="E16" s="1" t="n">
        <f aca="false">$B$5 *C16</f>
        <v>73.326</v>
      </c>
      <c r="F16" s="1" t="n">
        <f aca="false">E16/$B$6</f>
        <v>74.8224489795918</v>
      </c>
      <c r="G16" s="1" t="n">
        <f aca="false">E16/$C16</f>
        <v>6.666</v>
      </c>
      <c r="H16" s="1" t="n">
        <f aca="false">F16/$C16</f>
        <v>6.80204081632653</v>
      </c>
      <c r="I16" s="5"/>
      <c r="J16" s="1" t="n">
        <v>74.36</v>
      </c>
      <c r="K16" s="1" t="n">
        <v>75.76</v>
      </c>
      <c r="L16" s="1" t="n">
        <f aca="false">J16/$C16</f>
        <v>6.76</v>
      </c>
      <c r="M16" s="1" t="n">
        <f aca="false">K16/$C16</f>
        <v>6.88727272727273</v>
      </c>
      <c r="N16" s="1" t="n">
        <v>0.981</v>
      </c>
      <c r="O16" s="5"/>
      <c r="P16" s="1" t="n">
        <f aca="false">G16 - L16</f>
        <v>-0.0939999999999994</v>
      </c>
      <c r="Q16" s="1" t="n">
        <f aca="false">H16 - M16</f>
        <v>-0.085231910946197</v>
      </c>
      <c r="R16" s="1" t="n">
        <f aca="false">$B$6 - N16</f>
        <v>-0.001</v>
      </c>
    </row>
    <row r="17" customFormat="false" ht="12.8" hidden="false" customHeight="false" outlineLevel="0" collapsed="false">
      <c r="B17" s="6" t="s">
        <v>12</v>
      </c>
      <c r="C17" s="5" t="n">
        <v>15</v>
      </c>
      <c r="D17" s="5"/>
      <c r="E17" s="1" t="n">
        <f aca="false">$B$5 *C17</f>
        <v>99.99</v>
      </c>
      <c r="F17" s="1" t="n">
        <f aca="false">E17/$B$6</f>
        <v>102.030612244898</v>
      </c>
      <c r="G17" s="1" t="n">
        <f aca="false">E17/$C17</f>
        <v>6.666</v>
      </c>
      <c r="H17" s="1" t="n">
        <f aca="false">F17/$C17</f>
        <v>6.80204081632653</v>
      </c>
      <c r="I17" s="5"/>
      <c r="J17" s="1" t="n">
        <v>102.03</v>
      </c>
      <c r="K17" s="1" t="n">
        <v>104.1</v>
      </c>
      <c r="L17" s="1" t="n">
        <f aca="false">J17/$C17</f>
        <v>6.802</v>
      </c>
      <c r="M17" s="1" t="n">
        <f aca="false">K17/$C17</f>
        <v>6.94</v>
      </c>
      <c r="N17" s="1" t="n">
        <v>0.98</v>
      </c>
      <c r="O17" s="5"/>
      <c r="P17" s="1" t="n">
        <f aca="false">G17 - L17</f>
        <v>-0.136</v>
      </c>
      <c r="Q17" s="1" t="n">
        <f aca="false">H17 - M17</f>
        <v>-0.137959183673469</v>
      </c>
      <c r="R17" s="1" t="n">
        <f aca="false">$B$6 - N17</f>
        <v>0</v>
      </c>
    </row>
    <row r="18" customFormat="false" ht="12.8" hidden="false" customHeight="false" outlineLevel="0" collapsed="false">
      <c r="B18" s="6" t="s">
        <v>12</v>
      </c>
      <c r="C18" s="5" t="n">
        <v>20</v>
      </c>
      <c r="D18" s="5"/>
      <c r="E18" s="1" t="n">
        <f aca="false">$B$5 *C18</f>
        <v>133.32</v>
      </c>
      <c r="F18" s="1" t="n">
        <f aca="false">E18/$B$6</f>
        <v>136.040816326531</v>
      </c>
      <c r="G18" s="1" t="n">
        <f aca="false">E18/$C18</f>
        <v>6.666</v>
      </c>
      <c r="H18" s="1" t="n">
        <f aca="false">F18/$C18</f>
        <v>6.80204081632653</v>
      </c>
      <c r="I18" s="5"/>
      <c r="J18" s="1" t="n">
        <v>137.18</v>
      </c>
      <c r="K18" s="1" t="n">
        <v>140.29</v>
      </c>
      <c r="L18" s="1" t="n">
        <f aca="false">J18/$C18</f>
        <v>6.859</v>
      </c>
      <c r="M18" s="1" t="n">
        <f aca="false">K18/$C18</f>
        <v>7.0145</v>
      </c>
      <c r="N18" s="1" t="n">
        <v>0.978</v>
      </c>
      <c r="O18" s="5"/>
      <c r="P18" s="1" t="n">
        <f aca="false">G18 - L18</f>
        <v>-0.193000000000001</v>
      </c>
      <c r="Q18" s="1" t="n">
        <f aca="false">H18 - M18</f>
        <v>-0.21245918367347</v>
      </c>
      <c r="R18" s="1" t="n">
        <f aca="false">$B$6 - N18</f>
        <v>0.002</v>
      </c>
    </row>
    <row r="19" customFormat="false" ht="12.8" hidden="false" customHeight="false" outlineLevel="0" collapsed="false">
      <c r="B19" s="6" t="s">
        <v>12</v>
      </c>
      <c r="C19" s="5" t="n">
        <v>30</v>
      </c>
      <c r="D19" s="5"/>
      <c r="E19" s="1" t="n">
        <f aca="false">$B$5 *C19</f>
        <v>199.98</v>
      </c>
      <c r="F19" s="1" t="n">
        <f aca="false">E19/$B$6</f>
        <v>204.061224489796</v>
      </c>
      <c r="G19" s="1" t="n">
        <f aca="false">E19/$C19</f>
        <v>6.666</v>
      </c>
      <c r="H19" s="1" t="n">
        <f aca="false">F19/$C19</f>
        <v>6.80204081632653</v>
      </c>
      <c r="I19" s="5"/>
      <c r="J19" s="1" t="n">
        <v>209.37</v>
      </c>
      <c r="K19" s="1" t="n">
        <v>215.33</v>
      </c>
      <c r="L19" s="1" t="n">
        <f aca="false">J19/$C19</f>
        <v>6.979</v>
      </c>
      <c r="M19" s="1" t="n">
        <f aca="false">K19/$C19</f>
        <v>7.17766666666667</v>
      </c>
      <c r="N19" s="1" t="n">
        <v>0.972</v>
      </c>
      <c r="O19" s="5"/>
      <c r="P19" s="1" t="n">
        <f aca="false">G19 - L19</f>
        <v>-0.313</v>
      </c>
      <c r="Q19" s="1" t="n">
        <f aca="false">H19 - M19</f>
        <v>-0.375625850340136</v>
      </c>
      <c r="R19" s="1" t="n">
        <f aca="false">$B$6 - N19</f>
        <v>0.00800000000000001</v>
      </c>
    </row>
    <row r="20" customFormat="false" ht="12.8" hidden="false" customHeight="false" outlineLevel="0" collapsed="false">
      <c r="B20" s="6" t="s">
        <v>12</v>
      </c>
      <c r="C20" s="5" t="n">
        <v>50</v>
      </c>
      <c r="D20" s="5"/>
      <c r="E20" s="1" t="n">
        <f aca="false">$B$5 *C20</f>
        <v>333.3</v>
      </c>
      <c r="F20" s="1" t="n">
        <f aca="false">E20/$B$6</f>
        <v>340.102040816327</v>
      </c>
      <c r="G20" s="1" t="n">
        <f aca="false">E20/$C20</f>
        <v>6.666</v>
      </c>
      <c r="H20" s="1" t="n">
        <f aca="false">F20/$C20</f>
        <v>6.80204081632653</v>
      </c>
      <c r="I20" s="5"/>
      <c r="J20" s="1" t="n">
        <v>361.33</v>
      </c>
      <c r="K20" s="1" t="n">
        <v>376.59</v>
      </c>
      <c r="L20" s="1" t="n">
        <f aca="false">J20/$C20</f>
        <v>7.2266</v>
      </c>
      <c r="M20" s="1" t="n">
        <f aca="false">K20/$C20</f>
        <v>7.5318</v>
      </c>
      <c r="N20" s="1" t="n">
        <v>0.959</v>
      </c>
      <c r="O20" s="5"/>
      <c r="P20" s="1" t="n">
        <f aca="false">G20 - L20</f>
        <v>-0.560599999999999</v>
      </c>
      <c r="Q20" s="1" t="n">
        <f aca="false">H20 - M20</f>
        <v>-0.729759183673468</v>
      </c>
      <c r="R20" s="1" t="n">
        <f aca="false">$B$6 - N20</f>
        <v>0.021</v>
      </c>
    </row>
    <row r="22" customFormat="false" ht="12.8" hidden="false" customHeight="false" outlineLevel="0" collapsed="false">
      <c r="A22" s="0" t="s">
        <v>13</v>
      </c>
      <c r="B22" s="0" t="n">
        <v>208</v>
      </c>
    </row>
    <row r="23" customFormat="false" ht="12.8" hidden="false" customHeight="false" outlineLevel="0" collapsed="false">
      <c r="A23" s="0" t="s">
        <v>14</v>
      </c>
      <c r="B23" s="0" t="n">
        <v>40</v>
      </c>
    </row>
    <row r="24" customFormat="false" ht="12.8" hidden="false" customHeight="false" outlineLevel="0" collapsed="false">
      <c r="A24" s="0" t="s">
        <v>15</v>
      </c>
      <c r="B24" s="0" t="n">
        <v>0.8</v>
      </c>
    </row>
    <row r="25" customFormat="false" ht="12.8" hidden="false" customHeight="false" outlineLevel="0" collapsed="false">
      <c r="A25" s="0" t="s">
        <v>16</v>
      </c>
      <c r="B25" s="0" t="n">
        <v>0.99</v>
      </c>
    </row>
    <row r="26" customFormat="false" ht="12.8" hidden="false" customHeight="false" outlineLevel="0" collapsed="false">
      <c r="A26" s="0" t="s">
        <v>17</v>
      </c>
      <c r="B26" s="0" t="n">
        <f aca="false">BREAKER_RATING_A * CONTINUOUS_DUTY_DERATE</f>
        <v>32</v>
      </c>
    </row>
    <row r="27" customFormat="false" ht="12.8" hidden="false" customHeight="false" outlineLevel="0" collapsed="false">
      <c r="A27" s="0" t="s">
        <v>18</v>
      </c>
      <c r="B27" s="0" t="n">
        <f aca="false">PANEL_VOLTAGE_V * ev_pilot_current_a / 1000</f>
        <v>6.656</v>
      </c>
    </row>
    <row r="28" customFormat="false" ht="12.8" hidden="false" customHeight="false" outlineLevel="0" collapsed="false">
      <c r="A28" s="0" t="s">
        <v>19</v>
      </c>
      <c r="B28" s="0" t="n">
        <f aca="false">ev_apparent_power_kva * EV_TRUE_POWER_FACTOR</f>
        <v>6.58944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2026-08-03T18:41:23Z</dcterms:created>
  <dc:creator>Paulo Villela</dc:creator>
  <dc:description/>
  <dc:language>en-CA</dc:language>
  <cp:lastModifiedBy>Paulo Villela</cp:lastModifiedBy>
  <dcterms:modified xsi:type="dcterms:W3CDTF">2026-08-28T07:32:38Z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